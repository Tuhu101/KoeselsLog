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filterPrivacy="1" codeName="ThisWorkbook"/>
  <xr:revisionPtr revIDLastSave="0" documentId="13_ncr:1_{FBD5BA2B-0FC5-423F-864D-29BE0E09A364}" xr6:coauthVersionLast="45" xr6:coauthVersionMax="45" xr10:uidLastSave="{00000000-0000-0000-0000-000000000000}"/>
  <bookViews>
    <workbookView xWindow="28680" yWindow="-120" windowWidth="24240" windowHeight="13140" xr2:uid="{00000000-000D-0000-FFFF-FFFF00000000}"/>
  </bookViews>
  <sheets>
    <sheet name="ProjectSchedule" sheetId="11" r:id="rId1"/>
    <sheet name="About" sheetId="12" r:id="rId2"/>
  </sheets>
  <definedNames>
    <definedName name="Display_Week">ProjectSchedule!$E$4</definedName>
    <definedName name="_xlnm.Print_Titles" localSheetId="0">ProjectSchedule!$4:$6</definedName>
    <definedName name="Project_Start">ProjectSchedule!$E$3</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28" i="11" l="1"/>
  <c r="H27" i="11" l="1"/>
  <c r="H14" i="11"/>
  <c r="H7" i="11" l="1"/>
  <c r="F20" i="11" l="1"/>
  <c r="I4" i="11" l="1"/>
  <c r="H29" i="11"/>
  <c r="H26" i="11"/>
  <c r="H25" i="11"/>
  <c r="H24" i="11"/>
  <c r="H23" i="11"/>
  <c r="H21" i="11"/>
  <c r="H20" i="11"/>
  <c r="H19" i="11"/>
  <c r="H15" i="11"/>
  <c r="H8" i="11"/>
  <c r="H9" i="11" l="1"/>
  <c r="I6" i="11"/>
  <c r="H22" i="11" l="1"/>
  <c r="H10" i="11"/>
  <c r="F17" i="11"/>
  <c r="F16" i="11"/>
  <c r="H16" i="11" s="1"/>
  <c r="H13" i="11"/>
  <c r="J5" i="11"/>
  <c r="K5" i="11" s="1"/>
  <c r="L5" i="11" s="1"/>
  <c r="M5" i="11" s="1"/>
  <c r="N5" i="11" s="1"/>
  <c r="O5" i="11" s="1"/>
  <c r="P5" i="11" s="1"/>
  <c r="H17" i="11" l="1"/>
  <c r="H11" i="11"/>
  <c r="H12" i="11"/>
  <c r="P4" i="11"/>
  <c r="Q5" i="11"/>
  <c r="R5" i="11" s="1"/>
  <c r="S5" i="11" s="1"/>
  <c r="T5" i="11" s="1"/>
  <c r="U5" i="11" s="1"/>
  <c r="V5" i="11" s="1"/>
  <c r="W5" i="11" s="1"/>
  <c r="J6" i="11"/>
  <c r="F18" i="11" l="1"/>
  <c r="H18" i="11" s="1"/>
  <c r="W4" i="11"/>
  <c r="X5" i="11"/>
  <c r="Y5" i="11" s="1"/>
  <c r="Z5" i="11" s="1"/>
  <c r="AA5" i="11" s="1"/>
  <c r="AB5" i="11" s="1"/>
  <c r="AC5" i="11" s="1"/>
  <c r="AD5" i="11" s="1"/>
  <c r="K6" i="11"/>
  <c r="AE5" i="11" l="1"/>
  <c r="AF5" i="11" s="1"/>
  <c r="AG5" i="11" s="1"/>
  <c r="AH5" i="11" s="1"/>
  <c r="AI5" i="11" s="1"/>
  <c r="AJ5" i="11" s="1"/>
  <c r="AD4" i="11"/>
  <c r="L6" i="11"/>
  <c r="M6" i="11" l="1"/>
  <c r="N6" i="11" l="1"/>
  <c r="O6" i="11" l="1"/>
  <c r="P6" i="11" l="1"/>
  <c r="Q6" i="11"/>
  <c r="R6" i="11" l="1"/>
  <c r="S6" i="11" l="1"/>
  <c r="T6" i="11" l="1"/>
  <c r="U6" i="11" l="1"/>
  <c r="V6" i="11" l="1"/>
  <c r="W6" i="11" l="1"/>
  <c r="X6" i="11" l="1"/>
  <c r="Y6" i="11" l="1"/>
  <c r="Z6" i="11" l="1"/>
  <c r="AA6" i="11" l="1"/>
  <c r="AB6" i="11" l="1"/>
  <c r="AC6" i="11" l="1"/>
  <c r="AD6" i="11" l="1"/>
  <c r="AE6" i="11" l="1"/>
  <c r="AF6" i="11" l="1"/>
  <c r="AG6" i="11" l="1"/>
  <c r="AH6" i="11" l="1"/>
  <c r="AI6" i="11" l="1"/>
  <c r="AJ6" i="11" l="1"/>
</calcChain>
</file>

<file path=xl/sharedStrings.xml><?xml version="1.0" encoding="utf-8"?>
<sst xmlns="http://schemas.openxmlformats.org/spreadsheetml/2006/main" count="86" uniqueCount="65">
  <si>
    <t>Insert new rows ABOVE this one</t>
  </si>
  <si>
    <t>Project Start:</t>
  </si>
  <si>
    <t>PROGRESS</t>
  </si>
  <si>
    <t>ASSIGNED
TO</t>
  </si>
  <si>
    <t>Project Management Templates</t>
  </si>
  <si>
    <t>START</t>
  </si>
  <si>
    <t>END</t>
  </si>
  <si>
    <t>DAYS</t>
  </si>
  <si>
    <t>Display Week:</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</si>
  <si>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</si>
  <si>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</si>
  <si>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</si>
  <si>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</si>
  <si>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</si>
  <si>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</si>
  <si>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</si>
  <si>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</si>
  <si>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</si>
  <si>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</si>
  <si>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</si>
  <si>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</si>
  <si>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</si>
  <si>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</si>
  <si>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</si>
  <si>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Enter Company Name in cell B2.</t>
  </si>
  <si>
    <t>date</t>
  </si>
  <si>
    <t>Sample phase title block</t>
  </si>
  <si>
    <t>This row marks the end of the Project Schedule. DO NOT enter anything in this row. 
Insert new rows ABOVE this one to continue building out your Project Schedule.</t>
  </si>
  <si>
    <t>This is an empty row</t>
  </si>
  <si>
    <t xml:space="preserve">Do not delete this row. This row is hidden to preserve a formula that is used to highlight the curren day within the project schedule. </t>
  </si>
  <si>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</si>
  <si>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Enter the name of the Project Lead in cell B3. Enter the Project Start date in cell E3. Pooject Start: label is in cell C3.</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</si>
  <si>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</si>
  <si>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</si>
  <si>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</si>
  <si>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</si>
  <si>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 xml:space="preserve">Cell B9 contains the sample task "Task 1." 
Enter a new task name in cell B9.
Enter a person to assign the task to in cell C9.
Enter progres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</si>
  <si>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</si>
  <si>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</si>
  <si>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TP</t>
  </si>
  <si>
    <t>Analyse</t>
  </si>
  <si>
    <t xml:space="preserve">Use Case + FlowChart </t>
  </si>
  <si>
    <t>Opret Bruger</t>
  </si>
  <si>
    <t>Rediger Bruger</t>
  </si>
  <si>
    <t>Slet Bruger</t>
  </si>
  <si>
    <t>Liste Over Bruger</t>
  </si>
  <si>
    <t>Tobias Petersen</t>
  </si>
  <si>
    <t>Opret En KørselsLog</t>
  </si>
  <si>
    <t>Tp</t>
  </si>
  <si>
    <t xml:space="preserve">Database </t>
  </si>
  <si>
    <t xml:space="preserve">E/R Diagram </t>
  </si>
  <si>
    <t>DB Diagram</t>
  </si>
  <si>
    <t xml:space="preserve">SQL Scrips </t>
  </si>
  <si>
    <t xml:space="preserve">Klasser </t>
  </si>
  <si>
    <t xml:space="preserve">Klasse Diagram </t>
  </si>
  <si>
    <t>OOP</t>
  </si>
  <si>
    <t>Programering</t>
  </si>
  <si>
    <t>Form 1</t>
  </si>
  <si>
    <t xml:space="preserve">Form 2 </t>
  </si>
  <si>
    <t>Form 3</t>
  </si>
  <si>
    <t>Form 4</t>
  </si>
  <si>
    <t>Form 5</t>
  </si>
  <si>
    <t>Udvidet Køreselsplan</t>
  </si>
  <si>
    <t>TEC - Ballerup</t>
  </si>
  <si>
    <t xml:space="preserve">Projekt Færdig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</si>
</sst>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m/d/yy;@"/>
    <numFmt numFmtId="166" formatCode="ddd\,\ m/d/yyyy"/>
    <numFmt numFmtId="167" formatCode="mmm\ d\,\ yyyy"/>
    <numFmt numFmtId="168" formatCode="d"/>
  </numFmts>
  <fonts count="24"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sz val="8"/>
      <name val="Calibri"/>
      <family val="2"/>
      <scheme val="minor"/>
    </font>
  </fonts>
  <fills count="1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A568D2"/>
        <bgColor indexed="64"/>
      </patternFill>
    </fill>
  </fills>
  <borders count="22">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theme="0" tint="-0.14993743705557422"/>
      </left>
      <right style="thin">
        <color theme="0" tint="-0.14993743705557422"/>
      </right>
      <top style="medium">
        <color theme="0" tint="-0.14996795556505021"/>
      </top>
      <bottom/>
      <diagonal/>
    </border>
    <border>
      <left style="medium">
        <color theme="0" tint="-0.14993743705557422"/>
      </left>
      <right/>
      <top style="medium">
        <color theme="0" tint="-0.14993743705557422"/>
      </top>
      <bottom style="medium">
        <color theme="0" tint="-0.14996795556505021"/>
      </bottom>
      <diagonal/>
    </border>
    <border>
      <left/>
      <right/>
      <top style="medium">
        <color theme="0" tint="-0.14993743705557422"/>
      </top>
      <bottom style="medium">
        <color theme="0" tint="-0.14996795556505021"/>
      </bottom>
      <diagonal/>
    </border>
    <border>
      <left style="thin">
        <color theme="0" tint="-0.14993743705557422"/>
      </left>
      <right style="thin">
        <color theme="0" tint="-0.14993743705557422"/>
      </right>
      <top style="medium">
        <color theme="0" tint="-0.14993743705557422"/>
      </top>
      <bottom style="medium">
        <color theme="0" tint="-0.14996795556505021"/>
      </bottom>
      <diagonal/>
    </border>
    <border>
      <left style="thin">
        <color theme="0" tint="-0.14993743705557422"/>
      </left>
      <right style="medium">
        <color theme="0" tint="-0.14993743705557422"/>
      </right>
      <top style="medium">
        <color theme="0" tint="-0.14993743705557422"/>
      </top>
      <bottom style="medium">
        <color theme="0" tint="-0.14996795556505021"/>
      </bottom>
      <diagonal/>
    </border>
    <border>
      <left style="medium">
        <color theme="0" tint="-0.14993743705557422"/>
      </left>
      <right/>
      <top style="medium">
        <color theme="0" tint="-0.14996795556505021"/>
      </top>
      <bottom style="medium">
        <color theme="0" tint="-0.14996795556505021"/>
      </bottom>
      <diagonal/>
    </border>
    <border>
      <left style="thin">
        <color theme="0" tint="-0.14993743705557422"/>
      </left>
      <right style="medium">
        <color theme="0" tint="-0.14993743705557422"/>
      </right>
      <top style="medium">
        <color theme="0" tint="-0.14996795556505021"/>
      </top>
      <bottom style="medium">
        <color theme="0" tint="-0.14996795556505021"/>
      </bottom>
      <diagonal/>
    </border>
    <border>
      <left style="medium">
        <color theme="0" tint="-0.14993743705557422"/>
      </left>
      <right/>
      <top style="medium">
        <color theme="0" tint="-0.14996795556505021"/>
      </top>
      <bottom style="medium">
        <color theme="0" tint="-0.14993743705557422"/>
      </bottom>
      <diagonal/>
    </border>
    <border>
      <left/>
      <right/>
      <top style="medium">
        <color theme="0" tint="-0.14996795556505021"/>
      </top>
      <bottom style="medium">
        <color theme="0" tint="-0.14993743705557422"/>
      </bottom>
      <diagonal/>
    </border>
    <border>
      <left style="thin">
        <color theme="0" tint="-0.14993743705557422"/>
      </left>
      <right style="thin">
        <color theme="0" tint="-0.14993743705557422"/>
      </right>
      <top style="medium">
        <color theme="0" tint="-0.14996795556505021"/>
      </top>
      <bottom style="medium">
        <color theme="0" tint="-0.14993743705557422"/>
      </bottom>
      <diagonal/>
    </border>
    <border>
      <left style="thin">
        <color theme="0" tint="-0.14993743705557422"/>
      </left>
      <right style="medium">
        <color theme="0" tint="-0.14993743705557422"/>
      </right>
      <top style="medium">
        <color theme="0" tint="-0.14996795556505021"/>
      </top>
      <bottom style="medium">
        <color theme="0" tint="-0.14993743705557422"/>
      </bottom>
      <diagonal/>
    </border>
  </borders>
  <cellStyleXfs count="13">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4"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6" fontId="9" fillId="0" borderId="3">
      <alignment horizontal="center" vertical="center"/>
    </xf>
    <xf numFmtId="165" fontId="9" fillId="0" borderId="2" applyFill="0">
      <alignment horizontal="center" vertical="center"/>
    </xf>
    <xf numFmtId="0" fontId="9" fillId="0" borderId="2" applyFill="0">
      <alignment horizontal="center" vertical="center"/>
    </xf>
    <xf numFmtId="0" fontId="9" fillId="0" borderId="2" applyFill="0">
      <alignment horizontal="left" vertical="center" indent="2"/>
    </xf>
  </cellStyleXfs>
  <cellXfs count="104">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168" fontId="11" fillId="7" borderId="0" xfId="0" applyNumberFormat="1" applyFont="1" applyFill="1" applyAlignment="1">
      <alignment horizontal="center" vertical="center"/>
    </xf>
    <xf numFmtId="168" fontId="11" fillId="7" borderId="6" xfId="0" applyNumberFormat="1" applyFont="1" applyFill="1" applyBorder="1" applyAlignment="1">
      <alignment horizontal="center" vertical="center"/>
    </xf>
    <xf numFmtId="168" fontId="11" fillId="7" borderId="7" xfId="0" applyNumberFormat="1" applyFont="1" applyFill="1" applyBorder="1" applyAlignment="1">
      <alignment horizontal="center" vertical="center"/>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0" fontId="5" fillId="0" borderId="2" xfId="0" applyFont="1" applyBorder="1" applyAlignment="1">
      <alignment horizontal="center" vertical="center"/>
    </xf>
    <xf numFmtId="9" fontId="5" fillId="3" borderId="2" xfId="2" applyFont="1" applyFill="1" applyBorder="1" applyAlignment="1">
      <alignment horizontal="center" vertical="center"/>
    </xf>
    <xf numFmtId="9" fontId="5" fillId="9" borderId="2" xfId="2" applyFont="1" applyFill="1" applyBorder="1" applyAlignment="1">
      <alignment horizontal="center" vertical="center"/>
    </xf>
    <xf numFmtId="165" fontId="0" fillId="9" borderId="2" xfId="0" applyNumberFormat="1" applyFill="1" applyBorder="1" applyAlignment="1">
      <alignment horizontal="center" vertical="center"/>
    </xf>
    <xf numFmtId="165" fontId="5" fillId="9" borderId="2" xfId="0" applyNumberFormat="1" applyFont="1" applyFill="1" applyBorder="1" applyAlignment="1">
      <alignment horizontal="center" vertical="center"/>
    </xf>
    <xf numFmtId="9" fontId="5" fillId="4" borderId="2" xfId="2" applyFont="1" applyFill="1" applyBorder="1" applyAlignment="1">
      <alignment horizontal="center" vertical="center"/>
    </xf>
    <xf numFmtId="9" fontId="5" fillId="6" borderId="2" xfId="2" applyFont="1" applyFill="1" applyBorder="1" applyAlignment="1">
      <alignment horizontal="center" vertical="center"/>
    </xf>
    <xf numFmtId="165" fontId="0" fillId="6" borderId="2" xfId="0" applyNumberFormat="1" applyFill="1" applyBorder="1" applyAlignment="1">
      <alignment horizontal="center" vertical="center"/>
    </xf>
    <xf numFmtId="165" fontId="5" fillId="6" borderId="2" xfId="0" applyNumberFormat="1" applyFont="1" applyFill="1" applyBorder="1" applyAlignment="1">
      <alignment horizontal="center" vertical="center"/>
    </xf>
    <xf numFmtId="9" fontId="5" fillId="11" borderId="2" xfId="2" applyFont="1" applyFill="1" applyBorder="1" applyAlignment="1">
      <alignment horizontal="center" vertical="center"/>
    </xf>
    <xf numFmtId="9" fontId="5" fillId="5" borderId="2" xfId="2" applyFont="1" applyFill="1" applyBorder="1" applyAlignment="1">
      <alignment horizontal="center" vertical="center"/>
    </xf>
    <xf numFmtId="165" fontId="0" fillId="5" borderId="2" xfId="0" applyNumberFormat="1" applyFill="1" applyBorder="1" applyAlignment="1">
      <alignment horizontal="center" vertical="center"/>
    </xf>
    <xf numFmtId="165" fontId="5" fillId="5" borderId="2" xfId="0" applyNumberFormat="1"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165" fontId="4" fillId="2" borderId="2" xfId="0" applyNumberFormat="1" applyFont="1" applyFill="1" applyBorder="1" applyAlignment="1">
      <alignment horizontal="left" vertical="center"/>
    </xf>
    <xf numFmtId="165"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15" fillId="0" borderId="0" xfId="1" applyFont="1" applyProtection="1">
      <alignment vertical="top"/>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0" fillId="0" borderId="11" xfId="0" applyBorder="1" applyAlignment="1">
      <alignment vertical="center"/>
    </xf>
    <xf numFmtId="0" fontId="6" fillId="8" borderId="12" xfId="0" applyFont="1" applyFill="1" applyBorder="1" applyAlignment="1">
      <alignment horizontal="left" vertical="center" indent="1"/>
    </xf>
    <xf numFmtId="0" fontId="9" fillId="8" borderId="13" xfId="11" applyFill="1" applyBorder="1">
      <alignment horizontal="center" vertical="center"/>
    </xf>
    <xf numFmtId="9" fontId="5" fillId="8" borderId="13" xfId="2" applyFont="1" applyFill="1" applyBorder="1" applyAlignment="1">
      <alignment horizontal="center" vertical="center"/>
    </xf>
    <xf numFmtId="165" fontId="0" fillId="8" borderId="13" xfId="0" applyNumberFormat="1" applyFill="1" applyBorder="1" applyAlignment="1">
      <alignment horizontal="center" vertical="center"/>
    </xf>
    <xf numFmtId="165" fontId="5" fillId="8" borderId="13" xfId="0" applyNumberFormat="1" applyFont="1" applyFill="1" applyBorder="1" applyAlignment="1">
      <alignment horizontal="center" vertical="center"/>
    </xf>
    <xf numFmtId="0" fontId="5" fillId="0" borderId="13" xfId="0" applyFont="1" applyBorder="1" applyAlignment="1">
      <alignment horizontal="center" vertical="center"/>
    </xf>
    <xf numFmtId="0" fontId="0" fillId="0" borderId="14" xfId="0" applyBorder="1" applyAlignment="1">
      <alignment vertical="center"/>
    </xf>
    <xf numFmtId="0" fontId="0" fillId="0" borderId="15" xfId="0" applyBorder="1" applyAlignment="1">
      <alignment vertical="center"/>
    </xf>
    <xf numFmtId="0" fontId="9" fillId="3" borderId="16" xfId="12" applyFill="1" applyBorder="1">
      <alignment horizontal="left" vertical="center" indent="2"/>
    </xf>
    <xf numFmtId="0" fontId="9" fillId="3" borderId="2" xfId="11" applyFill="1" applyBorder="1">
      <alignment horizontal="center" vertical="center"/>
    </xf>
    <xf numFmtId="165" fontId="9" fillId="3" borderId="2" xfId="10" applyFill="1" applyBorder="1">
      <alignment horizontal="center" vertical="center"/>
    </xf>
    <xf numFmtId="0" fontId="0" fillId="0" borderId="17" xfId="0" applyBorder="1" applyAlignment="1">
      <alignment vertical="center"/>
    </xf>
    <xf numFmtId="0" fontId="6" fillId="9" borderId="16" xfId="0" applyFont="1" applyFill="1" applyBorder="1" applyAlignment="1">
      <alignment horizontal="left" vertical="center" indent="1"/>
    </xf>
    <xf numFmtId="0" fontId="9" fillId="9" borderId="2" xfId="11" applyFill="1" applyBorder="1">
      <alignment horizontal="center" vertical="center"/>
    </xf>
    <xf numFmtId="0" fontId="9" fillId="4" borderId="16" xfId="12" applyFill="1" applyBorder="1">
      <alignment horizontal="left" vertical="center" indent="2"/>
    </xf>
    <xf numFmtId="0" fontId="9" fillId="4" borderId="2" xfId="11" applyFill="1" applyBorder="1">
      <alignment horizontal="center" vertical="center"/>
    </xf>
    <xf numFmtId="165" fontId="9" fillId="4" borderId="2" xfId="10" applyFill="1" applyBorder="1">
      <alignment horizontal="center" vertical="center"/>
    </xf>
    <xf numFmtId="0" fontId="6" fillId="6" borderId="16" xfId="0" applyFont="1" applyFill="1" applyBorder="1" applyAlignment="1">
      <alignment horizontal="left" vertical="center" indent="1"/>
    </xf>
    <xf numFmtId="0" fontId="9" fillId="6" borderId="2" xfId="11" applyFill="1" applyBorder="1">
      <alignment horizontal="center" vertical="center"/>
    </xf>
    <xf numFmtId="0" fontId="9" fillId="11" borderId="16" xfId="12" applyFill="1" applyBorder="1">
      <alignment horizontal="left" vertical="center" indent="2"/>
    </xf>
    <xf numFmtId="0" fontId="9" fillId="11" borderId="2" xfId="11" applyFill="1" applyBorder="1">
      <alignment horizontal="center" vertical="center"/>
    </xf>
    <xf numFmtId="165" fontId="9" fillId="11" borderId="2" xfId="10" applyFill="1" applyBorder="1">
      <alignment horizontal="center" vertical="center"/>
    </xf>
    <xf numFmtId="0" fontId="6" fillId="5" borderId="16" xfId="0" applyFont="1" applyFill="1" applyBorder="1" applyAlignment="1">
      <alignment horizontal="left" vertical="center" indent="1"/>
    </xf>
    <xf numFmtId="0" fontId="9" fillId="5" borderId="2" xfId="11" applyFill="1" applyBorder="1">
      <alignment horizontal="center" vertical="center"/>
    </xf>
    <xf numFmtId="0" fontId="6" fillId="10" borderId="16" xfId="12" applyFont="1" applyFill="1" applyBorder="1">
      <alignment horizontal="left" vertical="center" indent="2"/>
    </xf>
    <xf numFmtId="0" fontId="9" fillId="10" borderId="2" xfId="11" applyFill="1" applyBorder="1">
      <alignment horizontal="center" vertical="center"/>
    </xf>
    <xf numFmtId="165" fontId="9" fillId="10" borderId="2" xfId="10" applyFill="1" applyBorder="1">
      <alignment horizontal="center" vertical="center"/>
    </xf>
    <xf numFmtId="0" fontId="9" fillId="10" borderId="16" xfId="12" applyFill="1" applyBorder="1">
      <alignment horizontal="left" vertical="center" indent="2"/>
    </xf>
    <xf numFmtId="0" fontId="9" fillId="10" borderId="18" xfId="12" applyFill="1" applyBorder="1">
      <alignment horizontal="left" vertical="center" indent="2"/>
    </xf>
    <xf numFmtId="0" fontId="9" fillId="10" borderId="19" xfId="11" applyFill="1" applyBorder="1">
      <alignment horizontal="center" vertical="center"/>
    </xf>
    <xf numFmtId="9" fontId="5" fillId="10" borderId="19" xfId="2" applyFont="1" applyFill="1" applyBorder="1" applyAlignment="1">
      <alignment horizontal="center" vertical="center"/>
    </xf>
    <xf numFmtId="165" fontId="9" fillId="10" borderId="19" xfId="10" applyFill="1" applyBorder="1">
      <alignment horizontal="center" vertical="center"/>
    </xf>
    <xf numFmtId="0" fontId="5" fillId="0" borderId="19" xfId="0" applyFont="1" applyBorder="1" applyAlignment="1">
      <alignment horizontal="center" vertical="center"/>
    </xf>
    <xf numFmtId="0" fontId="0" fillId="0" borderId="20" xfId="0" applyBorder="1" applyAlignment="1">
      <alignment vertical="center"/>
    </xf>
    <xf numFmtId="0" fontId="0" fillId="0" borderId="21" xfId="0" applyBorder="1" applyAlignment="1">
      <alignment vertical="center"/>
    </xf>
    <xf numFmtId="0" fontId="6" fillId="14" borderId="18" xfId="12" applyFont="1" applyFill="1" applyBorder="1">
      <alignment horizontal="left" vertical="center" indent="2"/>
    </xf>
    <xf numFmtId="0" fontId="9" fillId="14" borderId="19" xfId="11" applyFill="1" applyBorder="1">
      <alignment horizontal="center" vertical="center"/>
    </xf>
    <xf numFmtId="9" fontId="5" fillId="14" borderId="19" xfId="2" applyFont="1" applyFill="1" applyBorder="1" applyAlignment="1">
      <alignment horizontal="center" vertical="center"/>
    </xf>
    <xf numFmtId="165" fontId="9" fillId="14" borderId="19" xfId="10" applyFill="1" applyBorder="1">
      <alignment horizontal="center" vertical="center"/>
    </xf>
    <xf numFmtId="0" fontId="0" fillId="0" borderId="10" xfId="0" applyBorder="1"/>
    <xf numFmtId="166" fontId="9" fillId="0" borderId="3" xfId="9">
      <alignment horizontal="center" vertical="center"/>
    </xf>
    <xf numFmtId="167" fontId="0" fillId="7" borderId="4" xfId="0" applyNumberFormat="1" applyFill="1" applyBorder="1" applyAlignment="1">
      <alignment horizontal="left" vertical="center" wrapText="1" indent="1"/>
    </xf>
    <xf numFmtId="167" fontId="0" fillId="7" borderId="1" xfId="0" applyNumberFormat="1" applyFill="1" applyBorder="1" applyAlignment="1">
      <alignment horizontal="left" vertical="center" wrapText="1" indent="1"/>
    </xf>
    <xf numFmtId="167" fontId="0" fillId="7" borderId="5" xfId="0" applyNumberFormat="1" applyFill="1" applyBorder="1" applyAlignment="1">
      <alignment horizontal="left" vertical="center" wrapText="1" indent="1"/>
    </xf>
    <xf numFmtId="0" fontId="9" fillId="0" borderId="0" xfId="8">
      <alignment horizontal="right" indent="1"/>
    </xf>
    <xf numFmtId="0" fontId="9" fillId="0" borderId="7" xfId="8" applyBorder="1">
      <alignment horizontal="right" inden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5">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4"/>
      <tableStyleElement type="headerRow" dxfId="13"/>
      <tableStyleElement type="totalRow" dxfId="12"/>
      <tableStyleElement type="firstColumn" dxfId="11"/>
      <tableStyleElement type="lastColumn" dxfId="10"/>
      <tableStyleElement type="firstRowStripe" dxfId="9"/>
      <tableStyleElement type="secondRowStripe" dxfId="8"/>
      <tableStyleElement type="firstColumnStripe" dxfId="7"/>
      <tableStyleElement type="secondColumnStripe" dxfId="6"/>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A568D2"/>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56"/>
  <sheetViews>
    <sheetView showGridLines="0" tabSelected="1" showRuler="0" zoomScale="70" zoomScaleNormal="70" zoomScalePageLayoutView="70" workbookViewId="0">
      <pane ySplit="6" topLeftCell="A10" activePane="bottomLeft" state="frozen"/>
      <selection pane="bottomLeft" activeCell="BB18" sqref="BB18"/>
    </sheetView>
  </sheetViews>
  <sheetFormatPr defaultRowHeight="30" customHeight="1" x14ac:dyDescent="0.25"/>
  <cols>
    <col min="1" max="1" width="2.7109375" style="49" customWidth="1"/>
    <col min="2" max="2" width="26.85546875" bestFit="1" customWidth="1"/>
    <col min="3" max="3" width="30.7109375" customWidth="1"/>
    <col min="4" max="4" width="10.7109375" customWidth="1"/>
    <col min="5" max="5" width="10.42578125" style="5" customWidth="1"/>
    <col min="6" max="6" width="10.42578125" customWidth="1"/>
    <col min="7" max="7" width="2.7109375" customWidth="1"/>
    <col min="8" max="8" width="6.140625" hidden="1" customWidth="1"/>
    <col min="9" max="64" width="2.5703125" customWidth="1"/>
    <col min="69" max="70" width="10.28515625"/>
  </cols>
  <sheetData>
    <row r="1" spans="1:64" ht="30" customHeight="1" x14ac:dyDescent="0.45">
      <c r="A1" s="50" t="s">
        <v>30</v>
      </c>
      <c r="B1" s="54" t="s">
        <v>62</v>
      </c>
      <c r="C1" s="1"/>
      <c r="D1" s="2"/>
      <c r="E1" s="4"/>
      <c r="F1" s="38"/>
      <c r="H1" s="2"/>
      <c r="I1" s="13"/>
    </row>
    <row r="2" spans="1:64" ht="30" customHeight="1" x14ac:dyDescent="0.3">
      <c r="A2" s="49" t="s">
        <v>24</v>
      </c>
      <c r="B2" s="55" t="s">
        <v>63</v>
      </c>
      <c r="I2" s="52"/>
    </row>
    <row r="3" spans="1:64" ht="30" customHeight="1" x14ac:dyDescent="0.25">
      <c r="A3" s="49" t="s">
        <v>31</v>
      </c>
      <c r="B3" s="56" t="s">
        <v>46</v>
      </c>
      <c r="C3" s="102" t="s">
        <v>1</v>
      </c>
      <c r="D3" s="103"/>
      <c r="E3" s="98">
        <v>44140</v>
      </c>
      <c r="F3" s="98"/>
    </row>
    <row r="4" spans="1:64" ht="30" customHeight="1" x14ac:dyDescent="0.25">
      <c r="A4" s="50" t="s">
        <v>32</v>
      </c>
      <c r="C4" s="102" t="s">
        <v>8</v>
      </c>
      <c r="D4" s="103"/>
      <c r="E4" s="6">
        <v>3</v>
      </c>
      <c r="I4" s="99">
        <f>I5</f>
        <v>44140</v>
      </c>
      <c r="J4" s="100"/>
      <c r="K4" s="100"/>
      <c r="L4" s="100"/>
      <c r="M4" s="100"/>
      <c r="N4" s="100"/>
      <c r="O4" s="101"/>
      <c r="P4" s="99">
        <f>P5</f>
        <v>44147</v>
      </c>
      <c r="Q4" s="100"/>
      <c r="R4" s="100"/>
      <c r="S4" s="100"/>
      <c r="T4" s="100"/>
      <c r="U4" s="100"/>
      <c r="V4" s="101"/>
      <c r="W4" s="99">
        <f>W5</f>
        <v>44154</v>
      </c>
      <c r="X4" s="100"/>
      <c r="Y4" s="100"/>
      <c r="Z4" s="100"/>
      <c r="AA4" s="100"/>
      <c r="AB4" s="100"/>
      <c r="AC4" s="101"/>
      <c r="AD4" s="99">
        <f>AD5</f>
        <v>44161</v>
      </c>
      <c r="AE4" s="100"/>
      <c r="AF4" s="100"/>
      <c r="AG4" s="100"/>
      <c r="AH4" s="100"/>
      <c r="AI4" s="100"/>
      <c r="AJ4" s="101"/>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row>
    <row r="5" spans="1:64" ht="15" customHeight="1" x14ac:dyDescent="0.25">
      <c r="A5" s="50" t="s">
        <v>33</v>
      </c>
      <c r="B5" s="97"/>
      <c r="C5" s="97"/>
      <c r="D5" s="97"/>
      <c r="E5" s="97"/>
      <c r="F5" s="97"/>
      <c r="G5" s="97"/>
      <c r="I5" s="10">
        <v>44140</v>
      </c>
      <c r="J5" s="9">
        <f>I5+1</f>
        <v>44141</v>
      </c>
      <c r="K5" s="9">
        <f t="shared" ref="K5:AJ5" si="0">J5+1</f>
        <v>44142</v>
      </c>
      <c r="L5" s="9">
        <f t="shared" si="0"/>
        <v>44143</v>
      </c>
      <c r="M5" s="9">
        <f t="shared" si="0"/>
        <v>44144</v>
      </c>
      <c r="N5" s="9">
        <f t="shared" si="0"/>
        <v>44145</v>
      </c>
      <c r="O5" s="11">
        <f t="shared" si="0"/>
        <v>44146</v>
      </c>
      <c r="P5" s="10">
        <f>O5+1</f>
        <v>44147</v>
      </c>
      <c r="Q5" s="9">
        <f>P5+1</f>
        <v>44148</v>
      </c>
      <c r="R5" s="9">
        <f t="shared" si="0"/>
        <v>44149</v>
      </c>
      <c r="S5" s="9">
        <f t="shared" si="0"/>
        <v>44150</v>
      </c>
      <c r="T5" s="9">
        <f t="shared" si="0"/>
        <v>44151</v>
      </c>
      <c r="U5" s="9">
        <f t="shared" si="0"/>
        <v>44152</v>
      </c>
      <c r="V5" s="11">
        <f t="shared" si="0"/>
        <v>44153</v>
      </c>
      <c r="W5" s="10">
        <f>V5+1</f>
        <v>44154</v>
      </c>
      <c r="X5" s="9">
        <f>W5+1</f>
        <v>44155</v>
      </c>
      <c r="Y5" s="9">
        <f t="shared" si="0"/>
        <v>44156</v>
      </c>
      <c r="Z5" s="9">
        <f t="shared" si="0"/>
        <v>44157</v>
      </c>
      <c r="AA5" s="9">
        <f t="shared" si="0"/>
        <v>44158</v>
      </c>
      <c r="AB5" s="9">
        <f t="shared" si="0"/>
        <v>44159</v>
      </c>
      <c r="AC5" s="11">
        <f t="shared" si="0"/>
        <v>44160</v>
      </c>
      <c r="AD5" s="10">
        <f>AC5+1</f>
        <v>44161</v>
      </c>
      <c r="AE5" s="9">
        <f>AD5+1</f>
        <v>44162</v>
      </c>
      <c r="AF5" s="9">
        <f t="shared" si="0"/>
        <v>44163</v>
      </c>
      <c r="AG5" s="9">
        <f t="shared" si="0"/>
        <v>44164</v>
      </c>
      <c r="AH5" s="9">
        <f t="shared" si="0"/>
        <v>44165</v>
      </c>
      <c r="AI5" s="9">
        <f t="shared" si="0"/>
        <v>44166</v>
      </c>
      <c r="AJ5" s="11">
        <f t="shared" si="0"/>
        <v>44167</v>
      </c>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row>
    <row r="6" spans="1:64" ht="30" customHeight="1" thickBot="1" x14ac:dyDescent="0.3">
      <c r="A6" s="50" t="s">
        <v>34</v>
      </c>
      <c r="B6" s="7" t="s">
        <v>9</v>
      </c>
      <c r="C6" s="8" t="s">
        <v>3</v>
      </c>
      <c r="D6" s="8" t="s">
        <v>2</v>
      </c>
      <c r="E6" s="8" t="s">
        <v>5</v>
      </c>
      <c r="F6" s="8" t="s">
        <v>6</v>
      </c>
      <c r="G6" s="8"/>
      <c r="H6" s="8" t="s">
        <v>7</v>
      </c>
      <c r="I6" s="12" t="str">
        <f t="shared" ref="I6" si="1">LEFT(TEXT(I5,"ddd"),1)</f>
        <v>T</v>
      </c>
      <c r="J6" s="12" t="str">
        <f t="shared" ref="J6:AJ6" si="2">LEFT(TEXT(J5,"ddd"),1)</f>
        <v>F</v>
      </c>
      <c r="K6" s="12" t="str">
        <f t="shared" si="2"/>
        <v>S</v>
      </c>
      <c r="L6" s="12" t="str">
        <f t="shared" si="2"/>
        <v>S</v>
      </c>
      <c r="M6" s="12" t="str">
        <f t="shared" si="2"/>
        <v>M</v>
      </c>
      <c r="N6" s="12" t="str">
        <f t="shared" si="2"/>
        <v>T</v>
      </c>
      <c r="O6" s="12" t="str">
        <f t="shared" si="2"/>
        <v>W</v>
      </c>
      <c r="P6" s="12" t="str">
        <f t="shared" si="2"/>
        <v>T</v>
      </c>
      <c r="Q6" s="12" t="str">
        <f t="shared" si="2"/>
        <v>F</v>
      </c>
      <c r="R6" s="12" t="str">
        <f t="shared" si="2"/>
        <v>S</v>
      </c>
      <c r="S6" s="12" t="str">
        <f t="shared" si="2"/>
        <v>S</v>
      </c>
      <c r="T6" s="12" t="str">
        <f t="shared" si="2"/>
        <v>M</v>
      </c>
      <c r="U6" s="12" t="str">
        <f t="shared" si="2"/>
        <v>T</v>
      </c>
      <c r="V6" s="12" t="str">
        <f t="shared" si="2"/>
        <v>W</v>
      </c>
      <c r="W6" s="12" t="str">
        <f t="shared" si="2"/>
        <v>T</v>
      </c>
      <c r="X6" s="12" t="str">
        <f t="shared" si="2"/>
        <v>F</v>
      </c>
      <c r="Y6" s="12" t="str">
        <f t="shared" si="2"/>
        <v>S</v>
      </c>
      <c r="Z6" s="12" t="str">
        <f t="shared" si="2"/>
        <v>S</v>
      </c>
      <c r="AA6" s="12" t="str">
        <f t="shared" si="2"/>
        <v>M</v>
      </c>
      <c r="AB6" s="12" t="str">
        <f t="shared" si="2"/>
        <v>T</v>
      </c>
      <c r="AC6" s="12" t="str">
        <f t="shared" si="2"/>
        <v>W</v>
      </c>
      <c r="AD6" s="12" t="str">
        <f t="shared" si="2"/>
        <v>T</v>
      </c>
      <c r="AE6" s="12" t="str">
        <f t="shared" si="2"/>
        <v>F</v>
      </c>
      <c r="AF6" s="12" t="str">
        <f t="shared" si="2"/>
        <v>S</v>
      </c>
      <c r="AG6" s="12" t="str">
        <f t="shared" si="2"/>
        <v>S</v>
      </c>
      <c r="AH6" s="12" t="str">
        <f t="shared" si="2"/>
        <v>M</v>
      </c>
      <c r="AI6" s="12" t="str">
        <f t="shared" si="2"/>
        <v>T</v>
      </c>
      <c r="AJ6" s="12" t="str">
        <f t="shared" si="2"/>
        <v>W</v>
      </c>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row>
    <row r="7" spans="1:64" ht="30" hidden="1" customHeight="1" thickBot="1" x14ac:dyDescent="0.3">
      <c r="A7" s="49" t="s">
        <v>29</v>
      </c>
      <c r="C7" s="53"/>
      <c r="E7"/>
      <c r="H7" t="str">
        <f>IF(OR(ISBLANK(task_start),ISBLANK(task_end)),"",task_end-task_start+1)</f>
        <v/>
      </c>
      <c r="I7" s="57"/>
      <c r="J7" s="57"/>
      <c r="K7" s="57"/>
      <c r="L7" s="57"/>
      <c r="M7" s="57"/>
      <c r="N7" s="57"/>
      <c r="O7" s="57"/>
      <c r="P7" s="57"/>
      <c r="Q7" s="57"/>
      <c r="R7" s="57"/>
      <c r="S7" s="57"/>
      <c r="T7" s="57"/>
      <c r="U7" s="57"/>
      <c r="V7" s="57"/>
      <c r="W7" s="57"/>
      <c r="X7" s="57"/>
      <c r="Y7" s="57"/>
      <c r="Z7" s="57"/>
      <c r="AA7" s="57"/>
      <c r="AB7" s="57"/>
      <c r="AC7" s="57"/>
      <c r="AD7" s="57"/>
      <c r="AE7" s="57"/>
      <c r="AF7" s="57"/>
      <c r="AG7" s="57"/>
      <c r="AH7" s="57"/>
      <c r="AI7" s="57"/>
      <c r="AJ7" s="57"/>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row>
    <row r="8" spans="1:64" s="3" customFormat="1" ht="30" customHeight="1" thickBot="1" x14ac:dyDescent="0.3">
      <c r="A8" s="50" t="s">
        <v>35</v>
      </c>
      <c r="B8" s="58" t="s">
        <v>40</v>
      </c>
      <c r="C8" s="59" t="s">
        <v>39</v>
      </c>
      <c r="D8" s="60">
        <v>1</v>
      </c>
      <c r="E8" s="61">
        <v>44140</v>
      </c>
      <c r="F8" s="62">
        <v>44144</v>
      </c>
      <c r="G8" s="63"/>
      <c r="H8" s="63">
        <f t="shared" ref="H8:H20" si="3">IF(OR(ISBLANK(task_start),ISBLANK(task_end)),"",task_end-task_start+1)</f>
        <v>5</v>
      </c>
      <c r="I8" s="64"/>
      <c r="J8" s="64"/>
      <c r="K8" s="64"/>
      <c r="L8" s="64"/>
      <c r="M8" s="64"/>
      <c r="N8" s="64"/>
      <c r="O8" s="64"/>
      <c r="P8" s="64"/>
      <c r="Q8" s="64"/>
      <c r="R8" s="64"/>
      <c r="S8" s="64"/>
      <c r="T8" s="64"/>
      <c r="U8" s="64"/>
      <c r="V8" s="64"/>
      <c r="W8" s="64"/>
      <c r="X8" s="64"/>
      <c r="Y8" s="64"/>
      <c r="Z8" s="64"/>
      <c r="AA8" s="64"/>
      <c r="AB8" s="64"/>
      <c r="AC8" s="64"/>
      <c r="AD8" s="64"/>
      <c r="AE8" s="64"/>
      <c r="AF8" s="64"/>
      <c r="AG8" s="64"/>
      <c r="AH8" s="64"/>
      <c r="AI8" s="64"/>
      <c r="AJ8" s="65"/>
    </row>
    <row r="9" spans="1:64" s="3" customFormat="1" ht="30" customHeight="1" thickBot="1" x14ac:dyDescent="0.3">
      <c r="A9" s="50" t="s">
        <v>36</v>
      </c>
      <c r="B9" s="66" t="s">
        <v>41</v>
      </c>
      <c r="C9" s="67" t="s">
        <v>39</v>
      </c>
      <c r="D9" s="16">
        <v>1</v>
      </c>
      <c r="E9" s="68">
        <v>44140</v>
      </c>
      <c r="F9" s="68">
        <v>44144</v>
      </c>
      <c r="G9" s="15"/>
      <c r="H9" s="15">
        <f t="shared" si="3"/>
        <v>5</v>
      </c>
      <c r="I9" s="35"/>
      <c r="J9" s="35"/>
      <c r="K9" s="35"/>
      <c r="L9" s="35"/>
      <c r="M9" s="35"/>
      <c r="N9" s="35"/>
      <c r="O9" s="35"/>
      <c r="P9" s="35"/>
      <c r="Q9" s="35"/>
      <c r="R9" s="35"/>
      <c r="S9" s="35"/>
      <c r="T9" s="35"/>
      <c r="U9" s="35"/>
      <c r="V9" s="35"/>
      <c r="W9" s="35"/>
      <c r="X9" s="35"/>
      <c r="Y9" s="35"/>
      <c r="Z9" s="35"/>
      <c r="AA9" s="35"/>
      <c r="AB9" s="35"/>
      <c r="AC9" s="35"/>
      <c r="AD9" s="35"/>
      <c r="AE9" s="35"/>
      <c r="AF9" s="35"/>
      <c r="AG9" s="35"/>
      <c r="AH9" s="35"/>
      <c r="AI9" s="35"/>
      <c r="AJ9" s="69"/>
    </row>
    <row r="10" spans="1:64" s="3" customFormat="1" ht="30" customHeight="1" thickBot="1" x14ac:dyDescent="0.3">
      <c r="A10" s="50" t="s">
        <v>37</v>
      </c>
      <c r="B10" s="66" t="s">
        <v>42</v>
      </c>
      <c r="C10" s="67" t="s">
        <v>39</v>
      </c>
      <c r="D10" s="16">
        <v>1</v>
      </c>
      <c r="E10" s="68">
        <v>44140</v>
      </c>
      <c r="F10" s="68">
        <v>44144</v>
      </c>
      <c r="G10" s="15"/>
      <c r="H10" s="15">
        <f t="shared" si="3"/>
        <v>5</v>
      </c>
      <c r="I10" s="35"/>
      <c r="J10" s="35"/>
      <c r="K10" s="35"/>
      <c r="L10" s="35"/>
      <c r="M10" s="35"/>
      <c r="N10" s="35"/>
      <c r="O10" s="35"/>
      <c r="P10" s="35"/>
      <c r="Q10" s="35"/>
      <c r="R10" s="35"/>
      <c r="S10" s="35"/>
      <c r="T10" s="35"/>
      <c r="U10" s="36"/>
      <c r="V10" s="36"/>
      <c r="W10" s="35"/>
      <c r="X10" s="35"/>
      <c r="Y10" s="35"/>
      <c r="Z10" s="35"/>
      <c r="AA10" s="35"/>
      <c r="AB10" s="35"/>
      <c r="AC10" s="35"/>
      <c r="AD10" s="35"/>
      <c r="AE10" s="35"/>
      <c r="AF10" s="35"/>
      <c r="AG10" s="35"/>
      <c r="AH10" s="35"/>
      <c r="AI10" s="35"/>
      <c r="AJ10" s="69"/>
    </row>
    <row r="11" spans="1:64" s="3" customFormat="1" ht="30" customHeight="1" thickBot="1" x14ac:dyDescent="0.3">
      <c r="A11" s="49"/>
      <c r="B11" s="66" t="s">
        <v>43</v>
      </c>
      <c r="C11" s="67" t="s">
        <v>39</v>
      </c>
      <c r="D11" s="16">
        <v>1</v>
      </c>
      <c r="E11" s="68">
        <v>44140</v>
      </c>
      <c r="F11" s="68">
        <v>44144</v>
      </c>
      <c r="G11" s="15"/>
      <c r="H11" s="15">
        <f t="shared" si="3"/>
        <v>5</v>
      </c>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69"/>
      <c r="AK11"/>
      <c r="AL11"/>
      <c r="AM11"/>
      <c r="AN11"/>
      <c r="AO11"/>
      <c r="AP11"/>
      <c r="AQ11"/>
      <c r="AR11"/>
      <c r="AS11"/>
      <c r="AT11"/>
      <c r="AU11"/>
      <c r="AV11"/>
      <c r="AW11"/>
      <c r="AX11"/>
      <c r="AY11"/>
      <c r="AZ11"/>
      <c r="BA11"/>
      <c r="BB11"/>
      <c r="BC11"/>
      <c r="BD11"/>
      <c r="BE11"/>
      <c r="BF11"/>
      <c r="BG11"/>
      <c r="BH11"/>
      <c r="BI11"/>
      <c r="BJ11"/>
      <c r="BK11"/>
      <c r="BL11"/>
    </row>
    <row r="12" spans="1:64" s="3" customFormat="1" ht="30" customHeight="1" thickBot="1" x14ac:dyDescent="0.3">
      <c r="A12" s="49"/>
      <c r="B12" s="66" t="s">
        <v>44</v>
      </c>
      <c r="C12" s="67" t="s">
        <v>39</v>
      </c>
      <c r="D12" s="16">
        <v>1</v>
      </c>
      <c r="E12" s="68">
        <v>44141</v>
      </c>
      <c r="F12" s="68">
        <v>44144</v>
      </c>
      <c r="G12" s="15"/>
      <c r="H12" s="15">
        <f t="shared" si="3"/>
        <v>4</v>
      </c>
      <c r="I12" s="35"/>
      <c r="J12" s="35"/>
      <c r="K12" s="35"/>
      <c r="L12" s="35"/>
      <c r="M12" s="35"/>
      <c r="N12" s="35"/>
      <c r="O12" s="35"/>
      <c r="P12" s="35"/>
      <c r="Q12" s="35"/>
      <c r="R12" s="35"/>
      <c r="S12" s="35"/>
      <c r="T12" s="35"/>
      <c r="U12" s="35"/>
      <c r="V12" s="35"/>
      <c r="W12" s="35"/>
      <c r="X12" s="35"/>
      <c r="Y12" s="36"/>
      <c r="Z12" s="35"/>
      <c r="AA12" s="35"/>
      <c r="AB12" s="35"/>
      <c r="AC12" s="35"/>
      <c r="AD12" s="35"/>
      <c r="AE12" s="35"/>
      <c r="AF12" s="35"/>
      <c r="AG12" s="35"/>
      <c r="AH12" s="35"/>
      <c r="AI12" s="35"/>
      <c r="AJ12" s="69"/>
      <c r="AK12"/>
      <c r="AL12"/>
      <c r="AM12"/>
      <c r="AN12"/>
      <c r="AO12"/>
      <c r="AP12"/>
      <c r="AQ12"/>
      <c r="AR12"/>
      <c r="AS12"/>
      <c r="AT12"/>
      <c r="AU12"/>
      <c r="AV12"/>
      <c r="AW12"/>
      <c r="AX12"/>
      <c r="AY12"/>
      <c r="AZ12"/>
      <c r="BA12"/>
      <c r="BB12"/>
      <c r="BC12"/>
      <c r="BD12"/>
      <c r="BE12"/>
      <c r="BF12"/>
      <c r="BG12"/>
      <c r="BH12"/>
      <c r="BI12"/>
      <c r="BJ12"/>
      <c r="BK12"/>
      <c r="BL12"/>
    </row>
    <row r="13" spans="1:64" s="3" customFormat="1" ht="30" customHeight="1" thickBot="1" x14ac:dyDescent="0.3">
      <c r="A13" s="49"/>
      <c r="B13" s="66" t="s">
        <v>45</v>
      </c>
      <c r="C13" s="67" t="s">
        <v>48</v>
      </c>
      <c r="D13" s="16">
        <v>1</v>
      </c>
      <c r="E13" s="68">
        <v>44141</v>
      </c>
      <c r="F13" s="68">
        <v>44144</v>
      </c>
      <c r="G13" s="15"/>
      <c r="H13" s="15">
        <f t="shared" si="3"/>
        <v>4</v>
      </c>
      <c r="I13" s="35"/>
      <c r="J13" s="35"/>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5"/>
      <c r="AJ13" s="69"/>
      <c r="AK13"/>
      <c r="AL13"/>
      <c r="AM13"/>
      <c r="AN13"/>
      <c r="AO13"/>
      <c r="AP13"/>
      <c r="AQ13"/>
      <c r="AR13"/>
      <c r="AS13"/>
      <c r="AT13"/>
      <c r="AU13"/>
      <c r="AV13"/>
      <c r="AW13"/>
      <c r="AX13"/>
      <c r="AY13"/>
      <c r="AZ13"/>
      <c r="BA13"/>
      <c r="BB13"/>
      <c r="BC13"/>
      <c r="BD13"/>
      <c r="BE13"/>
      <c r="BF13"/>
      <c r="BG13"/>
      <c r="BH13"/>
      <c r="BI13"/>
      <c r="BJ13"/>
      <c r="BK13"/>
      <c r="BL13"/>
    </row>
    <row r="14" spans="1:64" s="3" customFormat="1" ht="30" customHeight="1" thickBot="1" x14ac:dyDescent="0.3">
      <c r="A14" s="50" t="s">
        <v>38</v>
      </c>
      <c r="B14" s="66" t="s">
        <v>47</v>
      </c>
      <c r="C14" s="67" t="s">
        <v>39</v>
      </c>
      <c r="D14" s="16">
        <v>1</v>
      </c>
      <c r="E14" s="68">
        <v>44141</v>
      </c>
      <c r="F14" s="68">
        <v>44144</v>
      </c>
      <c r="G14" s="15"/>
      <c r="H14" s="15">
        <f t="shared" si="3"/>
        <v>4</v>
      </c>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69"/>
      <c r="AK14"/>
      <c r="AL14"/>
      <c r="AM14"/>
      <c r="AN14"/>
      <c r="AO14"/>
      <c r="AP14"/>
      <c r="AQ14"/>
      <c r="AR14"/>
      <c r="AS14"/>
      <c r="AT14"/>
      <c r="AU14"/>
      <c r="AV14"/>
      <c r="AW14"/>
      <c r="AX14"/>
      <c r="AY14"/>
      <c r="AZ14"/>
      <c r="BA14"/>
      <c r="BB14"/>
      <c r="BC14"/>
      <c r="BD14"/>
      <c r="BE14"/>
      <c r="BF14"/>
      <c r="BG14"/>
      <c r="BH14"/>
      <c r="BI14"/>
      <c r="BJ14"/>
      <c r="BK14"/>
      <c r="BL14"/>
    </row>
    <row r="15" spans="1:64" s="3" customFormat="1" ht="30" customHeight="1" thickBot="1" x14ac:dyDescent="0.3">
      <c r="A15" s="50"/>
      <c r="B15" s="70" t="s">
        <v>49</v>
      </c>
      <c r="C15" s="71" t="s">
        <v>39</v>
      </c>
      <c r="D15" s="17"/>
      <c r="E15" s="18"/>
      <c r="F15" s="19"/>
      <c r="G15" s="15"/>
      <c r="H15" s="15" t="str">
        <f t="shared" si="3"/>
        <v/>
      </c>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69"/>
      <c r="AK15"/>
      <c r="AL15"/>
      <c r="AM15"/>
      <c r="AN15"/>
      <c r="AO15"/>
      <c r="AP15"/>
      <c r="AQ15"/>
      <c r="AR15"/>
      <c r="AS15"/>
      <c r="AT15"/>
      <c r="AU15"/>
      <c r="AV15"/>
      <c r="AW15"/>
      <c r="AX15"/>
      <c r="AY15"/>
      <c r="AZ15"/>
      <c r="BA15"/>
      <c r="BB15"/>
      <c r="BC15"/>
      <c r="BD15"/>
      <c r="BE15"/>
      <c r="BF15"/>
      <c r="BG15"/>
      <c r="BH15"/>
      <c r="BI15"/>
      <c r="BJ15"/>
      <c r="BK15"/>
      <c r="BL15"/>
    </row>
    <row r="16" spans="1:64" s="3" customFormat="1" ht="30" customHeight="1" thickBot="1" x14ac:dyDescent="0.3">
      <c r="A16" s="49"/>
      <c r="B16" s="72" t="s">
        <v>50</v>
      </c>
      <c r="C16" s="73" t="s">
        <v>39</v>
      </c>
      <c r="D16" s="20">
        <v>1</v>
      </c>
      <c r="E16" s="74">
        <v>44145</v>
      </c>
      <c r="F16" s="74">
        <f>E16+4</f>
        <v>44149</v>
      </c>
      <c r="G16" s="15"/>
      <c r="H16" s="15">
        <f t="shared" si="3"/>
        <v>5</v>
      </c>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69"/>
      <c r="AK16"/>
      <c r="AL16"/>
      <c r="AM16"/>
      <c r="AN16"/>
      <c r="AO16"/>
      <c r="AP16"/>
      <c r="AQ16"/>
      <c r="AR16"/>
      <c r="AS16"/>
      <c r="AT16"/>
      <c r="AU16"/>
      <c r="AV16"/>
      <c r="AW16"/>
      <c r="AX16"/>
      <c r="AY16"/>
      <c r="AZ16"/>
      <c r="BA16"/>
      <c r="BB16"/>
      <c r="BC16"/>
      <c r="BD16"/>
      <c r="BE16"/>
      <c r="BF16"/>
      <c r="BG16"/>
      <c r="BH16"/>
      <c r="BI16"/>
      <c r="BJ16"/>
      <c r="BK16"/>
      <c r="BL16"/>
    </row>
    <row r="17" spans="1:64" s="3" customFormat="1" ht="30" customHeight="1" thickBot="1" x14ac:dyDescent="0.3">
      <c r="A17" s="49"/>
      <c r="B17" s="72" t="s">
        <v>51</v>
      </c>
      <c r="C17" s="73" t="s">
        <v>39</v>
      </c>
      <c r="D17" s="20">
        <v>1</v>
      </c>
      <c r="E17" s="74">
        <v>44145</v>
      </c>
      <c r="F17" s="74">
        <f>E17+5</f>
        <v>44150</v>
      </c>
      <c r="G17" s="15"/>
      <c r="H17" s="15">
        <f t="shared" si="3"/>
        <v>6</v>
      </c>
      <c r="I17" s="35"/>
      <c r="J17" s="35"/>
      <c r="K17" s="35"/>
      <c r="L17" s="35"/>
      <c r="M17" s="35"/>
      <c r="N17" s="35"/>
      <c r="O17" s="35"/>
      <c r="P17" s="35"/>
      <c r="Q17" s="35"/>
      <c r="R17" s="35"/>
      <c r="S17" s="35"/>
      <c r="T17" s="35"/>
      <c r="U17" s="36"/>
      <c r="V17" s="36"/>
      <c r="W17" s="35"/>
      <c r="X17" s="35"/>
      <c r="Y17" s="35"/>
      <c r="Z17" s="35"/>
      <c r="AA17" s="35"/>
      <c r="AB17" s="35"/>
      <c r="AC17" s="35"/>
      <c r="AD17" s="35"/>
      <c r="AE17" s="35"/>
      <c r="AF17" s="35"/>
      <c r="AG17" s="35"/>
      <c r="AH17" s="35"/>
      <c r="AI17" s="35"/>
      <c r="AJ17" s="69"/>
      <c r="AK17"/>
      <c r="AL17"/>
      <c r="AM17"/>
      <c r="AN17"/>
      <c r="AO17"/>
      <c r="AP17"/>
      <c r="AQ17"/>
      <c r="AR17"/>
      <c r="AS17"/>
      <c r="AT17"/>
      <c r="AU17"/>
      <c r="AV17"/>
      <c r="AW17"/>
      <c r="AX17"/>
      <c r="AY17"/>
      <c r="AZ17"/>
      <c r="BA17"/>
      <c r="BB17"/>
      <c r="BC17"/>
      <c r="BD17"/>
      <c r="BE17"/>
      <c r="BF17"/>
      <c r="BG17"/>
      <c r="BH17"/>
      <c r="BI17"/>
      <c r="BJ17"/>
      <c r="BK17"/>
      <c r="BL17"/>
    </row>
    <row r="18" spans="1:64" s="3" customFormat="1" ht="30" customHeight="1" thickBot="1" x14ac:dyDescent="0.3">
      <c r="A18" s="49"/>
      <c r="B18" s="72" t="s">
        <v>52</v>
      </c>
      <c r="C18" s="73" t="s">
        <v>39</v>
      </c>
      <c r="D18" s="20">
        <v>1</v>
      </c>
      <c r="E18" s="74">
        <v>44145</v>
      </c>
      <c r="F18" s="74">
        <f>E18+3</f>
        <v>44148</v>
      </c>
      <c r="G18" s="15"/>
      <c r="H18" s="15">
        <f t="shared" si="3"/>
        <v>4</v>
      </c>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69"/>
      <c r="AK18"/>
      <c r="AL18"/>
      <c r="AM18"/>
      <c r="AN18"/>
      <c r="AO18"/>
      <c r="AP18"/>
      <c r="AQ18"/>
      <c r="AR18"/>
      <c r="AS18"/>
      <c r="AT18"/>
      <c r="AU18"/>
      <c r="AV18"/>
      <c r="AW18"/>
      <c r="AX18"/>
      <c r="AY18"/>
      <c r="AZ18"/>
      <c r="BA18"/>
      <c r="BB18"/>
      <c r="BC18"/>
      <c r="BD18"/>
      <c r="BE18"/>
      <c r="BF18"/>
      <c r="BG18"/>
      <c r="BH18"/>
      <c r="BI18"/>
      <c r="BJ18"/>
      <c r="BK18"/>
      <c r="BL18"/>
    </row>
    <row r="19" spans="1:64" s="3" customFormat="1" ht="30" customHeight="1" thickBot="1" x14ac:dyDescent="0.3">
      <c r="A19" s="49"/>
      <c r="B19" s="75" t="s">
        <v>53</v>
      </c>
      <c r="C19" s="76" t="s">
        <v>39</v>
      </c>
      <c r="D19" s="21"/>
      <c r="E19" s="22"/>
      <c r="F19" s="23"/>
      <c r="G19" s="15"/>
      <c r="H19" s="15" t="str">
        <f t="shared" si="3"/>
        <v/>
      </c>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69"/>
      <c r="AK19"/>
      <c r="AL19"/>
      <c r="AM19"/>
      <c r="AN19"/>
      <c r="AO19"/>
      <c r="AP19"/>
      <c r="AQ19"/>
      <c r="AR19"/>
      <c r="AS19"/>
      <c r="AT19"/>
      <c r="AU19"/>
      <c r="AV19"/>
      <c r="AW19"/>
      <c r="AX19"/>
      <c r="AY19"/>
      <c r="AZ19"/>
      <c r="BA19"/>
      <c r="BB19"/>
      <c r="BC19"/>
      <c r="BD19"/>
      <c r="BE19"/>
      <c r="BF19"/>
      <c r="BG19"/>
      <c r="BH19"/>
      <c r="BI19"/>
      <c r="BJ19"/>
      <c r="BK19"/>
      <c r="BL19"/>
    </row>
    <row r="20" spans="1:64" s="3" customFormat="1" ht="30" customHeight="1" thickBot="1" x14ac:dyDescent="0.3">
      <c r="A20" s="49" t="s">
        <v>26</v>
      </c>
      <c r="B20" s="77" t="s">
        <v>54</v>
      </c>
      <c r="C20" s="78" t="s">
        <v>39</v>
      </c>
      <c r="D20" s="24">
        <v>1</v>
      </c>
      <c r="E20" s="79">
        <v>44145</v>
      </c>
      <c r="F20" s="79">
        <f>E20+5</f>
        <v>44150</v>
      </c>
      <c r="G20" s="15"/>
      <c r="H20" s="15">
        <f t="shared" si="3"/>
        <v>6</v>
      </c>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69"/>
      <c r="AK20"/>
      <c r="AL20"/>
      <c r="AM20"/>
      <c r="AN20"/>
      <c r="AO20"/>
      <c r="AP20"/>
      <c r="AQ20"/>
      <c r="AR20"/>
      <c r="AS20"/>
      <c r="AT20"/>
      <c r="AU20"/>
      <c r="AV20"/>
      <c r="AW20"/>
      <c r="AX20"/>
      <c r="AY20"/>
      <c r="AZ20"/>
      <c r="BA20"/>
      <c r="BB20"/>
      <c r="BC20"/>
      <c r="BD20"/>
      <c r="BE20"/>
      <c r="BF20"/>
      <c r="BG20"/>
      <c r="BH20"/>
      <c r="BI20"/>
      <c r="BJ20"/>
      <c r="BK20"/>
      <c r="BL20"/>
    </row>
    <row r="21" spans="1:64" s="3" customFormat="1" ht="30" customHeight="1" thickBot="1" x14ac:dyDescent="0.3">
      <c r="A21" s="49"/>
      <c r="B21" s="80" t="s">
        <v>55</v>
      </c>
      <c r="C21" s="81" t="s">
        <v>39</v>
      </c>
      <c r="D21" s="25"/>
      <c r="E21" s="26"/>
      <c r="F21" s="27"/>
      <c r="G21" s="15"/>
      <c r="H21" s="15" t="str">
        <f t="shared" ref="H21:H28" si="4">IF(OR(ISBLANK(task_start),ISBLANK(task_end)),"",task_end-task_start+1)</f>
        <v/>
      </c>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69"/>
      <c r="AK21"/>
      <c r="AL21"/>
      <c r="AM21"/>
      <c r="AN21"/>
      <c r="AO21"/>
      <c r="AP21"/>
      <c r="AQ21"/>
      <c r="AR21"/>
      <c r="AS21"/>
      <c r="AT21"/>
      <c r="AU21"/>
      <c r="AV21"/>
      <c r="AW21"/>
      <c r="AX21"/>
      <c r="AY21"/>
      <c r="AZ21"/>
      <c r="BA21"/>
      <c r="BB21"/>
      <c r="BC21"/>
      <c r="BD21"/>
      <c r="BE21"/>
      <c r="BF21"/>
      <c r="BG21"/>
      <c r="BH21"/>
      <c r="BI21"/>
      <c r="BJ21"/>
      <c r="BK21"/>
      <c r="BL21"/>
    </row>
    <row r="22" spans="1:64" s="3" customFormat="1" ht="30" customHeight="1" thickBot="1" x14ac:dyDescent="0.3">
      <c r="A22" s="49"/>
      <c r="B22" s="82" t="s">
        <v>56</v>
      </c>
      <c r="C22" s="83" t="s">
        <v>39</v>
      </c>
      <c r="D22" s="28"/>
      <c r="E22" s="84" t="s">
        <v>25</v>
      </c>
      <c r="F22" s="84" t="s">
        <v>25</v>
      </c>
      <c r="G22" s="15"/>
      <c r="H22" s="15" t="e">
        <f t="shared" si="4"/>
        <v>#VALUE!</v>
      </c>
      <c r="I22" s="35"/>
      <c r="J22" s="35"/>
      <c r="K22" s="35"/>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69"/>
      <c r="AK22"/>
      <c r="AL22"/>
      <c r="AM22"/>
      <c r="AN22"/>
      <c r="AO22"/>
      <c r="AP22"/>
      <c r="AQ22"/>
      <c r="AR22"/>
      <c r="AS22"/>
      <c r="AT22"/>
      <c r="AU22"/>
      <c r="AV22"/>
      <c r="AW22"/>
      <c r="AX22"/>
      <c r="AY22"/>
      <c r="AZ22"/>
      <c r="BA22"/>
      <c r="BB22"/>
      <c r="BC22"/>
      <c r="BD22"/>
      <c r="BE22"/>
      <c r="BF22"/>
      <c r="BG22"/>
      <c r="BH22"/>
      <c r="BI22"/>
      <c r="BJ22"/>
      <c r="BK22"/>
      <c r="BL22"/>
    </row>
    <row r="23" spans="1:64" s="3" customFormat="1" ht="30" customHeight="1" thickBot="1" x14ac:dyDescent="0.3">
      <c r="A23" s="49"/>
      <c r="B23" s="85" t="s">
        <v>57</v>
      </c>
      <c r="C23" s="83" t="s">
        <v>39</v>
      </c>
      <c r="D23" s="28">
        <v>1</v>
      </c>
      <c r="E23" s="84">
        <v>44147</v>
      </c>
      <c r="F23" s="84">
        <v>44158</v>
      </c>
      <c r="G23" s="15"/>
      <c r="H23" s="15">
        <f t="shared" si="4"/>
        <v>12</v>
      </c>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69"/>
      <c r="AK23"/>
      <c r="AL23"/>
      <c r="AM23"/>
      <c r="AN23"/>
      <c r="AO23"/>
      <c r="AP23"/>
      <c r="AQ23"/>
      <c r="AR23"/>
      <c r="AS23"/>
      <c r="AT23"/>
      <c r="AU23"/>
      <c r="AV23"/>
      <c r="AW23"/>
      <c r="AX23"/>
      <c r="AY23"/>
      <c r="AZ23"/>
      <c r="BA23"/>
      <c r="BB23"/>
      <c r="BC23"/>
      <c r="BD23"/>
      <c r="BE23"/>
      <c r="BF23"/>
      <c r="BG23"/>
      <c r="BH23"/>
      <c r="BI23"/>
      <c r="BJ23"/>
      <c r="BK23"/>
      <c r="BL23"/>
    </row>
    <row r="24" spans="1:64" s="3" customFormat="1" ht="30" customHeight="1" thickBot="1" x14ac:dyDescent="0.3">
      <c r="A24" s="49"/>
      <c r="B24" s="85" t="s">
        <v>58</v>
      </c>
      <c r="C24" s="83" t="s">
        <v>39</v>
      </c>
      <c r="D24" s="28">
        <v>1</v>
      </c>
      <c r="E24" s="84">
        <v>44147</v>
      </c>
      <c r="F24" s="84">
        <v>44149</v>
      </c>
      <c r="G24" s="15"/>
      <c r="H24" s="15">
        <f t="shared" si="4"/>
        <v>3</v>
      </c>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69"/>
      <c r="AK24"/>
      <c r="AL24"/>
      <c r="AM24"/>
      <c r="AN24"/>
      <c r="AO24"/>
      <c r="AP24"/>
      <c r="AQ24"/>
      <c r="AR24"/>
      <c r="AS24"/>
      <c r="AT24"/>
      <c r="AU24"/>
      <c r="AV24"/>
      <c r="AW24"/>
      <c r="AX24"/>
      <c r="AY24"/>
      <c r="AZ24"/>
      <c r="BA24"/>
      <c r="BB24"/>
      <c r="BC24"/>
      <c r="BD24"/>
      <c r="BE24"/>
      <c r="BF24"/>
      <c r="BG24"/>
      <c r="BH24"/>
      <c r="BI24"/>
      <c r="BJ24"/>
      <c r="BK24"/>
      <c r="BL24"/>
    </row>
    <row r="25" spans="1:64" s="3" customFormat="1" ht="30" customHeight="1" thickBot="1" x14ac:dyDescent="0.3">
      <c r="A25" s="49"/>
      <c r="B25" s="85" t="s">
        <v>59</v>
      </c>
      <c r="C25" s="83" t="s">
        <v>39</v>
      </c>
      <c r="D25" s="28">
        <v>1</v>
      </c>
      <c r="E25" s="84">
        <v>44148</v>
      </c>
      <c r="F25" s="84">
        <v>44159</v>
      </c>
      <c r="G25" s="15"/>
      <c r="H25" s="15">
        <f t="shared" si="4"/>
        <v>12</v>
      </c>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69"/>
      <c r="AK25"/>
      <c r="AL25"/>
      <c r="AM25"/>
      <c r="AN25"/>
      <c r="AO25"/>
      <c r="AP25"/>
      <c r="AQ25"/>
      <c r="AR25"/>
      <c r="AS25"/>
      <c r="AT25"/>
      <c r="AU25"/>
      <c r="AV25"/>
      <c r="AW25"/>
      <c r="AX25"/>
      <c r="AY25"/>
      <c r="AZ25"/>
      <c r="BA25"/>
      <c r="BB25"/>
      <c r="BC25"/>
      <c r="BD25"/>
      <c r="BE25"/>
      <c r="BF25"/>
      <c r="BG25"/>
      <c r="BH25"/>
      <c r="BI25"/>
      <c r="BJ25"/>
      <c r="BK25"/>
      <c r="BL25"/>
    </row>
    <row r="26" spans="1:64" s="3" customFormat="1" ht="30" customHeight="1" thickBot="1" x14ac:dyDescent="0.3">
      <c r="A26" s="49" t="s">
        <v>26</v>
      </c>
      <c r="B26" s="85" t="s">
        <v>60</v>
      </c>
      <c r="C26" s="83" t="s">
        <v>39</v>
      </c>
      <c r="D26" s="28">
        <v>1</v>
      </c>
      <c r="E26" s="84">
        <v>44149</v>
      </c>
      <c r="F26" s="84">
        <v>44151</v>
      </c>
      <c r="G26" s="15"/>
      <c r="H26" s="15">
        <f t="shared" si="4"/>
        <v>3</v>
      </c>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c r="AH26" s="35"/>
      <c r="AI26" s="35"/>
      <c r="AJ26" s="69"/>
      <c r="AK26"/>
      <c r="AL26"/>
      <c r="AM26"/>
      <c r="AN26"/>
      <c r="AO26"/>
      <c r="AP26"/>
      <c r="AQ26"/>
      <c r="AR26"/>
      <c r="AS26"/>
      <c r="AT26"/>
      <c r="AU26"/>
      <c r="AV26"/>
      <c r="AW26"/>
      <c r="AX26"/>
      <c r="AY26"/>
      <c r="AZ26"/>
      <c r="BA26"/>
      <c r="BB26"/>
      <c r="BC26"/>
      <c r="BD26"/>
      <c r="BE26"/>
      <c r="BF26"/>
      <c r="BG26"/>
      <c r="BH26"/>
      <c r="BI26"/>
      <c r="BJ26"/>
      <c r="BK26"/>
      <c r="BL26"/>
    </row>
    <row r="27" spans="1:64" s="3" customFormat="1" ht="30" customHeight="1" thickBot="1" x14ac:dyDescent="0.3">
      <c r="A27" s="49"/>
      <c r="B27" s="86" t="s">
        <v>61</v>
      </c>
      <c r="C27" s="87" t="s">
        <v>39</v>
      </c>
      <c r="D27" s="88">
        <v>1</v>
      </c>
      <c r="E27" s="89">
        <v>44150</v>
      </c>
      <c r="F27" s="89">
        <v>44159</v>
      </c>
      <c r="G27" s="90"/>
      <c r="H27" s="90">
        <f t="shared" si="4"/>
        <v>10</v>
      </c>
      <c r="I27" s="91"/>
      <c r="J27" s="91"/>
      <c r="K27" s="91"/>
      <c r="L27" s="91"/>
      <c r="M27" s="91"/>
      <c r="N27" s="91"/>
      <c r="O27" s="91"/>
      <c r="P27" s="91"/>
      <c r="Q27" s="91"/>
      <c r="R27" s="91"/>
      <c r="S27" s="91"/>
      <c r="T27" s="91"/>
      <c r="U27" s="91"/>
      <c r="V27" s="91"/>
      <c r="W27" s="91"/>
      <c r="X27" s="91"/>
      <c r="Y27" s="91"/>
      <c r="Z27" s="91"/>
      <c r="AA27" s="91"/>
      <c r="AB27" s="91"/>
      <c r="AC27" s="91"/>
      <c r="AD27" s="91"/>
      <c r="AE27" s="91"/>
      <c r="AF27" s="91"/>
      <c r="AG27" s="91"/>
      <c r="AH27" s="91"/>
      <c r="AI27" s="91"/>
      <c r="AJ27" s="92"/>
      <c r="AK27"/>
      <c r="AL27"/>
      <c r="AM27"/>
      <c r="AN27"/>
      <c r="AO27"/>
      <c r="AP27"/>
      <c r="AQ27"/>
      <c r="AR27"/>
      <c r="AS27"/>
      <c r="AT27"/>
      <c r="AU27"/>
      <c r="AV27"/>
      <c r="AW27"/>
      <c r="AX27"/>
      <c r="AY27"/>
      <c r="AZ27"/>
      <c r="BA27"/>
      <c r="BB27"/>
      <c r="BC27"/>
      <c r="BD27"/>
      <c r="BE27"/>
      <c r="BF27"/>
      <c r="BG27"/>
      <c r="BH27"/>
      <c r="BI27"/>
      <c r="BJ27"/>
      <c r="BK27"/>
      <c r="BL27"/>
    </row>
    <row r="28" spans="1:64" s="3" customFormat="1" ht="30" customHeight="1" thickBot="1" x14ac:dyDescent="0.3">
      <c r="A28" s="49"/>
      <c r="B28" s="93" t="s">
        <v>64</v>
      </c>
      <c r="C28" s="94" t="s">
        <v>39</v>
      </c>
      <c r="D28" s="95">
        <v>1</v>
      </c>
      <c r="E28" s="96">
        <v>44140</v>
      </c>
      <c r="F28" s="96">
        <v>44161</v>
      </c>
      <c r="G28" s="90"/>
      <c r="H28" s="90">
        <f t="shared" si="4"/>
        <v>22</v>
      </c>
      <c r="I28" s="91"/>
      <c r="J28" s="91"/>
      <c r="K28" s="91"/>
      <c r="L28" s="91"/>
      <c r="M28" s="91"/>
      <c r="N28" s="91"/>
      <c r="O28" s="91"/>
      <c r="P28" s="91"/>
      <c r="Q28" s="91"/>
      <c r="R28" s="91"/>
      <c r="S28" s="91"/>
      <c r="T28" s="91"/>
      <c r="U28" s="91"/>
      <c r="V28" s="91"/>
      <c r="W28" s="91"/>
      <c r="X28" s="91"/>
      <c r="Y28" s="91"/>
      <c r="Z28" s="91"/>
      <c r="AA28" s="91"/>
      <c r="AB28" s="91"/>
      <c r="AC28" s="91"/>
      <c r="AD28" s="91"/>
      <c r="AE28" s="91"/>
      <c r="AF28" s="91"/>
      <c r="AG28" s="91"/>
      <c r="AH28" s="91"/>
      <c r="AI28" s="91"/>
      <c r="AJ28" s="92"/>
      <c r="AK28"/>
      <c r="AL28"/>
      <c r="AM28"/>
      <c r="AN28"/>
      <c r="AO28"/>
      <c r="AP28"/>
      <c r="AQ28"/>
      <c r="AR28"/>
      <c r="AS28"/>
      <c r="AT28"/>
      <c r="AU28"/>
      <c r="AV28"/>
      <c r="AW28"/>
      <c r="AX28"/>
      <c r="AY28"/>
      <c r="AZ28"/>
      <c r="BA28"/>
      <c r="BB28"/>
      <c r="BC28"/>
      <c r="BD28"/>
      <c r="BE28"/>
      <c r="BF28"/>
      <c r="BG28"/>
      <c r="BH28"/>
      <c r="BI28"/>
      <c r="BJ28"/>
      <c r="BK28"/>
      <c r="BL28"/>
    </row>
    <row r="29" spans="1:64" s="3" customFormat="1" ht="30" customHeight="1" thickBot="1" x14ac:dyDescent="0.3">
      <c r="A29" s="49"/>
      <c r="B29" s="29" t="s">
        <v>0</v>
      </c>
      <c r="C29" s="30"/>
      <c r="D29" s="31"/>
      <c r="E29" s="32"/>
      <c r="F29" s="33"/>
      <c r="G29" s="34"/>
      <c r="H29" s="34" t="str">
        <f>IF(OR(ISBLANK(task_start),ISBLANK(task_end)),"",task_end-task_start+1)</f>
        <v/>
      </c>
      <c r="I29" s="37"/>
      <c r="J29" s="37"/>
      <c r="K29" s="37"/>
      <c r="L29" s="37"/>
      <c r="M29" s="37"/>
      <c r="N29" s="37"/>
      <c r="O29" s="37"/>
      <c r="P29" s="37"/>
      <c r="Q29" s="37"/>
      <c r="R29" s="37"/>
      <c r="S29" s="37"/>
      <c r="T29" s="37"/>
      <c r="U29" s="37"/>
      <c r="V29" s="37"/>
      <c r="W29" s="37"/>
      <c r="X29" s="37"/>
      <c r="Y29" s="37"/>
      <c r="Z29" s="37"/>
      <c r="AA29" s="37"/>
      <c r="AB29" s="37"/>
      <c r="AC29" s="37"/>
      <c r="AD29" s="37"/>
      <c r="AE29" s="37"/>
      <c r="AF29" s="37"/>
      <c r="AG29" s="37"/>
      <c r="AH29" s="37"/>
      <c r="AI29" s="37"/>
      <c r="AJ29" s="37"/>
      <c r="AK29"/>
      <c r="AL29"/>
      <c r="AM29"/>
      <c r="AN29"/>
      <c r="AO29"/>
      <c r="AP29"/>
      <c r="AQ29"/>
      <c r="AR29"/>
      <c r="AS29"/>
      <c r="AT29"/>
      <c r="AU29"/>
      <c r="AV29"/>
      <c r="AW29"/>
      <c r="AX29"/>
      <c r="AY29"/>
      <c r="AZ29"/>
      <c r="BA29"/>
      <c r="BB29"/>
      <c r="BC29"/>
      <c r="BD29"/>
      <c r="BE29"/>
      <c r="BF29"/>
      <c r="BG29"/>
      <c r="BH29"/>
      <c r="BI29"/>
      <c r="BJ29"/>
      <c r="BK29"/>
      <c r="BL29"/>
    </row>
    <row r="30" spans="1:64" s="3" customFormat="1" ht="30" customHeight="1" x14ac:dyDescent="0.25">
      <c r="A30" s="49"/>
      <c r="AK30"/>
      <c r="AL30"/>
      <c r="AM30"/>
      <c r="AN30"/>
      <c r="AO30"/>
      <c r="AP30"/>
      <c r="AQ30"/>
      <c r="AR30"/>
      <c r="AS30"/>
      <c r="AT30"/>
      <c r="AU30"/>
      <c r="AV30"/>
      <c r="AW30"/>
      <c r="AX30"/>
      <c r="AY30"/>
      <c r="AZ30"/>
      <c r="BA30"/>
      <c r="BB30"/>
      <c r="BC30"/>
      <c r="BD30"/>
      <c r="BE30"/>
      <c r="BF30"/>
      <c r="BG30"/>
      <c r="BH30"/>
      <c r="BI30"/>
      <c r="BJ30"/>
      <c r="BK30"/>
      <c r="BL30"/>
    </row>
    <row r="31" spans="1:64" s="3" customFormat="1" ht="30" customHeight="1" x14ac:dyDescent="0.25">
      <c r="A31" s="49"/>
      <c r="AK31"/>
      <c r="AL31"/>
      <c r="AM31"/>
      <c r="AN31"/>
      <c r="AO31"/>
      <c r="AP31"/>
      <c r="AQ31"/>
      <c r="AR31"/>
      <c r="AS31"/>
      <c r="AT31"/>
      <c r="AU31"/>
      <c r="AV31"/>
      <c r="AW31"/>
      <c r="AX31"/>
      <c r="AY31"/>
      <c r="AZ31"/>
      <c r="BA31"/>
      <c r="BB31"/>
      <c r="BC31"/>
      <c r="BD31"/>
      <c r="BE31"/>
      <c r="BF31"/>
      <c r="BG31"/>
      <c r="BH31"/>
      <c r="BI31"/>
      <c r="BJ31"/>
      <c r="BK31"/>
      <c r="BL31"/>
    </row>
    <row r="32" spans="1:64" s="3" customFormat="1" ht="30" customHeight="1" x14ac:dyDescent="0.25">
      <c r="A32" s="49" t="s">
        <v>28</v>
      </c>
      <c r="AK32"/>
      <c r="AL32"/>
      <c r="AM32"/>
      <c r="AN32"/>
      <c r="AO32"/>
      <c r="AP32"/>
      <c r="AQ32"/>
      <c r="AR32"/>
      <c r="AS32"/>
      <c r="AT32"/>
      <c r="AU32"/>
      <c r="AV32"/>
      <c r="AW32"/>
      <c r="AX32"/>
      <c r="AY32"/>
      <c r="AZ32"/>
      <c r="BA32"/>
      <c r="BB32"/>
      <c r="BC32"/>
      <c r="BD32"/>
      <c r="BE32"/>
      <c r="BF32"/>
      <c r="BG32"/>
      <c r="BH32"/>
      <c r="BI32"/>
      <c r="BJ32"/>
      <c r="BK32"/>
      <c r="BL32"/>
    </row>
    <row r="33" spans="1:64" s="3" customFormat="1" ht="30" customHeight="1" x14ac:dyDescent="0.25">
      <c r="A33" s="50" t="s">
        <v>27</v>
      </c>
      <c r="AK33"/>
      <c r="AL33"/>
      <c r="AM33"/>
      <c r="AN33"/>
      <c r="AO33"/>
      <c r="AP33"/>
      <c r="AQ33"/>
      <c r="AR33"/>
      <c r="AS33"/>
      <c r="AT33"/>
      <c r="AU33"/>
      <c r="AV33"/>
      <c r="AW33"/>
      <c r="AX33"/>
      <c r="AY33"/>
      <c r="AZ33"/>
      <c r="BA33"/>
      <c r="BB33"/>
      <c r="BC33"/>
      <c r="BD33"/>
      <c r="BE33"/>
      <c r="BF33"/>
      <c r="BG33"/>
      <c r="BH33"/>
      <c r="BI33"/>
      <c r="BJ33"/>
      <c r="BK33"/>
      <c r="BL33"/>
    </row>
    <row r="35" spans="1:64" ht="30" customHeight="1" x14ac:dyDescent="0.25">
      <c r="C35" s="13"/>
      <c r="F35" s="51"/>
    </row>
    <row r="36" spans="1:64" ht="30" customHeight="1" x14ac:dyDescent="0.25">
      <c r="C36" s="14"/>
    </row>
    <row r="38" spans="1:64" ht="30" customHeight="1" x14ac:dyDescent="0.25">
      <c r="E38"/>
    </row>
    <row r="39" spans="1:64" ht="30" customHeight="1" x14ac:dyDescent="0.25">
      <c r="E39"/>
    </row>
    <row r="40" spans="1:64" ht="30" customHeight="1" x14ac:dyDescent="0.25">
      <c r="E40"/>
    </row>
    <row r="41" spans="1:64" ht="30" customHeight="1" x14ac:dyDescent="0.25">
      <c r="E41"/>
    </row>
    <row r="42" spans="1:64" ht="30" customHeight="1" x14ac:dyDescent="0.25">
      <c r="E42"/>
    </row>
    <row r="43" spans="1:64" ht="30" customHeight="1" x14ac:dyDescent="0.25">
      <c r="E43"/>
    </row>
    <row r="44" spans="1:64" ht="30" customHeight="1" x14ac:dyDescent="0.25">
      <c r="E44"/>
    </row>
    <row r="45" spans="1:64" ht="30" customHeight="1" x14ac:dyDescent="0.25">
      <c r="E45"/>
    </row>
    <row r="46" spans="1:64" ht="30" customHeight="1" x14ac:dyDescent="0.25">
      <c r="E46"/>
    </row>
    <row r="47" spans="1:64" ht="30" customHeight="1" x14ac:dyDescent="0.25">
      <c r="E47"/>
    </row>
    <row r="48" spans="1:64" ht="30" customHeight="1" x14ac:dyDescent="0.25">
      <c r="E48"/>
    </row>
    <row r="49" spans="5:5" ht="30" customHeight="1" x14ac:dyDescent="0.25">
      <c r="E49"/>
    </row>
    <row r="50" spans="5:5" ht="30" customHeight="1" x14ac:dyDescent="0.25">
      <c r="E50"/>
    </row>
    <row r="51" spans="5:5" ht="30" customHeight="1" x14ac:dyDescent="0.25">
      <c r="E51"/>
    </row>
    <row r="52" spans="5:5" ht="30" customHeight="1" x14ac:dyDescent="0.25">
      <c r="E52"/>
    </row>
    <row r="53" spans="5:5" ht="30" customHeight="1" x14ac:dyDescent="0.25">
      <c r="E53"/>
    </row>
    <row r="54" spans="5:5" ht="30" customHeight="1" x14ac:dyDescent="0.25">
      <c r="E54"/>
    </row>
    <row r="55" spans="5:5" ht="30" customHeight="1" x14ac:dyDescent="0.25">
      <c r="E55"/>
    </row>
    <row r="56" spans="5:5" ht="30" customHeight="1" x14ac:dyDescent="0.25">
      <c r="E56"/>
    </row>
  </sheetData>
  <mergeCells count="8">
    <mergeCell ref="AD4:AJ4"/>
    <mergeCell ref="C3:D3"/>
    <mergeCell ref="C4:D4"/>
    <mergeCell ref="B5:G5"/>
    <mergeCell ref="E3:F3"/>
    <mergeCell ref="I4:O4"/>
    <mergeCell ref="P4:V4"/>
    <mergeCell ref="W4:AC4"/>
  </mergeCells>
  <phoneticPr fontId="23" type="noConversion"/>
  <conditionalFormatting sqref="D7:D29">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AI29">
    <cfRule type="expression" dxfId="5" priority="33">
      <formula>AND(TODAY()&gt;=I$5,TODAY()&lt;J$5)</formula>
    </cfRule>
  </conditionalFormatting>
  <conditionalFormatting sqref="I7:AI29">
    <cfRule type="expression" dxfId="4" priority="27">
      <formula>AND(task_start&lt;=I$5,ROUNDDOWN((task_end-task_start+1)*task_progress,0)+task_start-1&gt;=I$5)</formula>
    </cfRule>
    <cfRule type="expression" dxfId="3" priority="28" stopIfTrue="1">
      <formula>AND(task_end&gt;=I$5,task_start&lt;J$5)</formula>
    </cfRule>
  </conditionalFormatting>
  <conditionalFormatting sqref="AJ5:AJ29">
    <cfRule type="expression" dxfId="2" priority="36">
      <formula>AND(TODAY()&gt;=AJ$5,TODAY()&lt;#REF!)</formula>
    </cfRule>
  </conditionalFormatting>
  <conditionalFormatting sqref="AJ7:AJ29">
    <cfRule type="expression" dxfId="1" priority="44">
      <formula>AND(task_start&lt;=AJ$5,ROUNDDOWN((task_end-task_start+1)*task_progress,0)+task_start-1&gt;=AJ$5)</formula>
    </cfRule>
    <cfRule type="expression" dxfId="0" priority="45" stopIfTrue="1">
      <formula>AND(task_end&gt;=AJ$5,task_start&lt;#REF!)</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D7:D29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RowHeight="12.75" x14ac:dyDescent="0.2"/>
  <cols>
    <col min="1" max="1" width="87.140625" style="39" customWidth="1"/>
    <col min="2" max="16384" width="9.140625" style="2"/>
  </cols>
  <sheetData>
    <row r="1" spans="1:2" ht="46.5" customHeight="1" x14ac:dyDescent="0.2"/>
    <row r="2" spans="1:2" s="41" customFormat="1" ht="15.75" x14ac:dyDescent="0.25">
      <c r="A2" s="40" t="s">
        <v>12</v>
      </c>
      <c r="B2" s="40"/>
    </row>
    <row r="3" spans="1:2" s="45" customFormat="1" ht="27" customHeight="1" x14ac:dyDescent="0.25">
      <c r="A3" s="46" t="s">
        <v>17</v>
      </c>
      <c r="B3" s="46"/>
    </row>
    <row r="4" spans="1:2" s="42" customFormat="1" ht="26.25" x14ac:dyDescent="0.4">
      <c r="A4" s="43" t="s">
        <v>11</v>
      </c>
    </row>
    <row r="5" spans="1:2" ht="74.099999999999994" customHeight="1" x14ac:dyDescent="0.2">
      <c r="A5" s="44" t="s">
        <v>20</v>
      </c>
    </row>
    <row r="6" spans="1:2" ht="26.25" customHeight="1" x14ac:dyDescent="0.2">
      <c r="A6" s="43" t="s">
        <v>23</v>
      </c>
    </row>
    <row r="7" spans="1:2" s="39" customFormat="1" ht="204.95" customHeight="1" x14ac:dyDescent="0.25">
      <c r="A7" s="48" t="s">
        <v>22</v>
      </c>
    </row>
    <row r="8" spans="1:2" s="42" customFormat="1" ht="26.25" x14ac:dyDescent="0.4">
      <c r="A8" s="43" t="s">
        <v>13</v>
      </c>
    </row>
    <row r="9" spans="1:2" ht="60" x14ac:dyDescent="0.2">
      <c r="A9" s="44" t="s">
        <v>21</v>
      </c>
    </row>
    <row r="10" spans="1:2" s="39" customFormat="1" ht="27.95" customHeight="1" x14ac:dyDescent="0.25">
      <c r="A10" s="47" t="s">
        <v>19</v>
      </c>
    </row>
    <row r="11" spans="1:2" s="42" customFormat="1" ht="26.25" x14ac:dyDescent="0.4">
      <c r="A11" s="43" t="s">
        <v>10</v>
      </c>
    </row>
    <row r="12" spans="1:2" ht="30" x14ac:dyDescent="0.2">
      <c r="A12" s="44" t="s">
        <v>18</v>
      </c>
    </row>
    <row r="13" spans="1:2" s="39" customFormat="1" ht="27.95" customHeight="1" x14ac:dyDescent="0.25">
      <c r="A13" s="47" t="s">
        <v>4</v>
      </c>
    </row>
    <row r="14" spans="1:2" s="42" customFormat="1" ht="26.25" x14ac:dyDescent="0.4">
      <c r="A14" s="43" t="s">
        <v>14</v>
      </c>
    </row>
    <row r="15" spans="1:2" ht="75" customHeight="1" x14ac:dyDescent="0.2">
      <c r="A15" s="44" t="s">
        <v>15</v>
      </c>
    </row>
    <row r="16" spans="1:2" ht="75" x14ac:dyDescent="0.2">
      <c r="A16" s="44" t="s">
        <v>16</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ProjectSchedule</vt:lpstr>
      <vt:lpstr>About</vt:lpstr>
      <vt:lpstr>Display_Week</vt:lpstr>
      <vt:lpstr>ProjectSchedule!Print_Titles</vt:lpstr>
      <vt:lpstr>Project_Start</vt:lpstr>
      <vt:lpstr>ProjectSchedule!task_end</vt:lpstr>
      <vt:lpstr>ProjectSchedule!task_progress</vt:lpstr>
      <vt:lpstr>ProjectSchedule!task_start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2019-03-19T17:17:03Z</dcterms:created>
  <dcterms:modified xsi:type="dcterms:W3CDTF">2020-11-30T13:56:32Z</dcterms:modified>
</cp:coreProperties>
</file>